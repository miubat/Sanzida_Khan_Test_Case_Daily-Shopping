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Test Cases" sheetId="1" r:id="rId1"/>
  </sheets>
  <definedNames>
    <definedName name="mm">#REF!</definedName>
    <definedName name="verify_package_Design">#REF!</definedName>
  </definedNames>
  <calcPr calcId="162913"/>
  <extLst>
    <ext uri="GoogleSheetsCustomDataVersion1">
      <go:sheetsCustomData xmlns:go="http://customooxmlschemas.google.com/" r:id="" roundtripDataSignature="AMtx7mjK6/sgYyL4ahsv4itsCUxvUB3f0w=="/>
    </ext>
  </extLst>
</workbook>
</file>

<file path=xl/calcChain.xml><?xml version="1.0" encoding="utf-8"?>
<calcChain xmlns="http://schemas.openxmlformats.org/spreadsheetml/2006/main">
  <c r="I4" i="1" l="1"/>
  <c r="I3" i="1"/>
  <c r="I2" i="1"/>
  <c r="I5" i="1" l="1"/>
</calcChain>
</file>

<file path=xl/sharedStrings.xml><?xml version="1.0" encoding="utf-8"?>
<sst xmlns="http://schemas.openxmlformats.org/spreadsheetml/2006/main" count="155" uniqueCount="104">
  <si>
    <t>Product Name</t>
  </si>
  <si>
    <t>dailyshoppingbd.com</t>
  </si>
  <si>
    <t>TC Start Date</t>
  </si>
  <si>
    <t>26/10/21</t>
  </si>
  <si>
    <t>TC Execution Start Date</t>
  </si>
  <si>
    <t>TEST CASE SUMMARY</t>
  </si>
  <si>
    <t>Module Name</t>
  </si>
  <si>
    <t>Registration</t>
  </si>
  <si>
    <t>TC End Date</t>
  </si>
  <si>
    <t>TC Execution End Date</t>
  </si>
  <si>
    <t>PASS</t>
  </si>
  <si>
    <t>Test Case Developed By</t>
  </si>
  <si>
    <t>Browser (tested)</t>
  </si>
  <si>
    <t>FAIL</t>
  </si>
  <si>
    <t>Developer Name (TL)</t>
  </si>
  <si>
    <t>x</t>
  </si>
  <si>
    <t>Test Case Reviewed By</t>
  </si>
  <si>
    <t>Performance (tested)</t>
  </si>
  <si>
    <t>No</t>
  </si>
  <si>
    <t>WARNING</t>
  </si>
  <si>
    <t>Test Executed by</t>
  </si>
  <si>
    <t>TOTAL</t>
  </si>
  <si>
    <t>Test Case ID/Name</t>
  </si>
  <si>
    <t>Test Case Description</t>
  </si>
  <si>
    <t xml:space="preserve">Precondition </t>
  </si>
  <si>
    <t>Test Data</t>
  </si>
  <si>
    <t>Step Description</t>
  </si>
  <si>
    <t>Expected Result</t>
  </si>
  <si>
    <t>Actual</t>
  </si>
  <si>
    <t>Status</t>
  </si>
  <si>
    <t>Remarks</t>
  </si>
  <si>
    <t>TC001</t>
  </si>
  <si>
    <t>"@&amp;^%"</t>
  </si>
  <si>
    <t xml:space="preserve">First Name
</t>
  </si>
  <si>
    <t>TC002</t>
  </si>
  <si>
    <t>"Jamal"</t>
  </si>
  <si>
    <t>Should be  able to register</t>
  </si>
  <si>
    <t>Registered successfully</t>
  </si>
  <si>
    <t>First Name</t>
  </si>
  <si>
    <t>TC003</t>
  </si>
  <si>
    <t>TC004</t>
  </si>
  <si>
    <t>Last Name</t>
  </si>
  <si>
    <t>TC005</t>
  </si>
  <si>
    <t>TC006</t>
  </si>
  <si>
    <t xml:space="preserve">user should get alart pop-up because of  blank field </t>
  </si>
  <si>
    <t>TC007</t>
  </si>
  <si>
    <t xml:space="preserve">Verify Phone Number
</t>
  </si>
  <si>
    <t>"01930889529"</t>
  </si>
  <si>
    <t>Phone</t>
  </si>
  <si>
    <t>TC008</t>
  </si>
  <si>
    <t xml:space="preserve">Verify Phone Number
</t>
  </si>
  <si>
    <t>"@#$%^&amp;*"</t>
  </si>
  <si>
    <t>TC009</t>
  </si>
  <si>
    <t xml:space="preserve">Verify Phone Number
</t>
  </si>
  <si>
    <t xml:space="preserve">Verify Phone Number
</t>
  </si>
  <si>
    <t>"1234567"</t>
  </si>
  <si>
    <t>user should get alart pop-up messagge</t>
  </si>
  <si>
    <t xml:space="preserve">"7126430r"
</t>
  </si>
  <si>
    <t>user  got alart pop-up message</t>
  </si>
  <si>
    <t xml:space="preserve">
Verify Password
</t>
  </si>
  <si>
    <t>Password</t>
  </si>
  <si>
    <t>Verify Password</t>
  </si>
  <si>
    <t xml:space="preserve">user should get alart pop-up message
</t>
  </si>
  <si>
    <t xml:space="preserve">
Verify Confirm Password
</t>
  </si>
  <si>
    <t>Confirm Password</t>
  </si>
  <si>
    <t>user should get alart pop-up message</t>
  </si>
  <si>
    <t>"Hasan"</t>
  </si>
  <si>
    <t>"123" &amp; "123"</t>
  </si>
  <si>
    <t>"1234" &amp; "123"</t>
  </si>
  <si>
    <t>Verify First Name</t>
  </si>
  <si>
    <t>Verify Last Name</t>
  </si>
  <si>
    <t>user should get alart pop-up of special character</t>
  </si>
  <si>
    <t>user should get alart pop-up message because of blank field</t>
  </si>
  <si>
    <t>user should get alart pop-up message because of special character</t>
  </si>
  <si>
    <t>Do not show the alart pop-up  message correctly</t>
  </si>
  <si>
    <t>Do not show the alart pop-up message correctly</t>
  </si>
  <si>
    <t xml:space="preserve">user should get alart pop-up message because of  blank field </t>
  </si>
  <si>
    <t>user  got alart pop-up message correctly</t>
  </si>
  <si>
    <t xml:space="preserve"> got alart pop-up message  because of blank field</t>
  </si>
  <si>
    <t>Comment</t>
  </si>
  <si>
    <t>TC0010</t>
  </si>
  <si>
    <t>TC0011</t>
  </si>
  <si>
    <t>TC0012</t>
  </si>
  <si>
    <t>TC0013</t>
  </si>
  <si>
    <t>TC0014</t>
  </si>
  <si>
    <t>TC0015</t>
  </si>
  <si>
    <t xml:space="preserve">go to  https://dailyshoppingbd.com-&gt; tap on sign up-&gt; fill first name with  "Special character "@&amp;^%" -&gt; fill up other field correctly  -&gt;  tap on registration button 
</t>
  </si>
  <si>
    <t xml:space="preserve">go to  https://dailyshoppingbd.com-&gt; tap on sign up-&gt; fill first name with  "Jamal" -&gt; fill up other field correctly  -&gt;  tap on registration button 
</t>
  </si>
  <si>
    <t xml:space="preserve">go to  https://dailyshoppingbd.com-&gt; tap on sign up-&gt; keep the first name field blank -&gt; fill up other field correctly  -&gt;  tap on registration button 
</t>
  </si>
  <si>
    <t xml:space="preserve">go to  https://dailyshoppingbd.com-&gt; tap on sign up-&gt; fill last name with  "Hasan" -&gt; fill up other field correctly  -&gt;  tap on registration button 
</t>
  </si>
  <si>
    <t xml:space="preserve">go to  https://dailyshoppingbd.com-&gt; tap on sign up-&gt; keep the last name field blank -&gt; fill up other field correctly  -&gt;  tap on registration button 
</t>
  </si>
  <si>
    <t xml:space="preserve">go to  https://dailyshoppingbd.com-&gt; tap on sign up-&gt; fill Phone field  with  "01930889529" -&gt; fill up other field correctly  -&gt;  tap on registration button </t>
  </si>
  <si>
    <t xml:space="preserve">go to  https://dailyshoppingbd.com-&gt; tap on sign up-&gt; fill Phone field  with  "@#$%^&amp;*" -&gt; fill up other field correctly  -&gt;  tap on registration button 
</t>
  </si>
  <si>
    <t xml:space="preserve">go to  https://dailyshoppingbd.com-&gt; tap on sign up-&gt;  Keep Phone field blank -&gt; fill up other field correctly  -&gt;  tap on registration button 
</t>
  </si>
  <si>
    <t xml:space="preserve">go to  https://dailyshoppingbd.com-&gt; tap on sign up-&gt; fill Phone field  with  "1234567" -&gt; fill up other field correctly  -&gt;  tap on registration button </t>
  </si>
  <si>
    <t xml:space="preserve">go to  https://dailyshoppingbd.com-&gt; tap on sign up-&gt; fill Phone field  with  "7126430r" -&gt; fill up other field correctly  -&gt;  tap on registration button 
</t>
  </si>
  <si>
    <t xml:space="preserve">go to  https://dailyshoppingbd.com-&gt; tap on sign up-&gt; fill Password field  with  "123" -&gt;Tap on Confirm Password-&gt; fill the confirm password field with "123" -&gt; fill up other field correctly  -&gt;  tap on registration button </t>
  </si>
  <si>
    <t xml:space="preserve">go to  https://dailyshoppingbd.com-&gt; tap on sign up-&gt; fill Password field  with  "1234" -&gt;Tap on Confirm Password-&gt; fill the confirm password field with "123" -&gt; fill up other field correctly  -&gt;  tap on registration button 
</t>
  </si>
  <si>
    <t xml:space="preserve">go to  https://dailyshoppingbd.com-&gt; tap on sign up-&gt; keep Password field  blank -&gt;Tap on Confirm Password-&gt; keep  Confirm Password field  blank -&gt; fill up other field correctly  -&gt;  tap on registration button 
</t>
  </si>
  <si>
    <t xml:space="preserve">go to  https://dailyshoppingbd.com-&gt; tap on sign up-&gt; fill Password field  with  "123" -&gt;Tap on Confirm Password-&gt; fill the confirm password field with "123" -&gt; fill up other field correctly  -&gt;  tap on registration button
 </t>
  </si>
  <si>
    <t xml:space="preserve">go to  https://dailyshoppingbd.com-&gt; tap on sign up-&gt; fill  last name with  "Special character "@&amp;^%" -&gt; fill up other field correctly  -&gt;  tap on registration button 
</t>
  </si>
  <si>
    <t>Name Field shouldn't be blank</t>
  </si>
  <si>
    <t xml:space="preserve">Phone number format should be change according to BD phone format
</t>
  </si>
  <si>
    <t>Sanzida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</si>
</sst>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10"/>
      <color rgb="FF000000"/>
      <name val="Calibri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5" fillId="0" borderId="11" xfId="0" quotePrefix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horizontal="center" wrapText="1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6" fillId="0" borderId="16" xfId="1" applyBorder="1" applyAlignment="1" applyProtection="1">
      <alignment horizontal="center" vertical="center"/>
    </xf>
    <xf numFmtId="0" fontId="6" fillId="0" borderId="16" xfId="1" applyBorder="1" applyAlignment="1" applyProtection="1">
      <alignment horizontal="center" vertical="center" wrapText="1"/>
    </xf>
    <xf numFmtId="0" fontId="6" fillId="0" borderId="17" xfId="1" applyBorder="1" applyAlignment="1" applyProtection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 wrapText="1"/>
    </xf>
    <xf numFmtId="0" fontId="9" fillId="0" borderId="16" xfId="1" applyFont="1" applyBorder="1" applyAlignment="1" applyProtection="1">
      <alignment horizontal="center" vertical="center"/>
    </xf>
    <xf numFmtId="0" fontId="8" fillId="0" borderId="0" xfId="0" applyFont="1" applyAlignment="1">
      <alignment vertical="center"/>
    </xf>
    <xf numFmtId="0" fontId="10" fillId="0" borderId="0" xfId="0" applyFont="1" applyAlignment="1"/>
    <xf numFmtId="0" fontId="5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center" wrapText="1"/>
    </xf>
    <xf numFmtId="12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6" fillId="0" borderId="0" xfId="1" applyBorder="1" applyAlignment="1" applyProtection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8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895350</xdr:colOff>
      <xdr:row>12</xdr:row>
      <xdr:rowOff>409575</xdr:rowOff>
    </xdr:from>
    <xdr:ext cx="190500" cy="266700"/>
    <xdr:sp macro="" textlink=""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kuaRmoL7DOjot6B2OE3SSr_iWlmQQCfa/view?usp=sharing" TargetMode="External"/><Relationship Id="rId13" Type="http://schemas.openxmlformats.org/officeDocument/2006/relationships/hyperlink" Target="https://drive.google.com/file/d/18AEUpX-r7WmOPLoZRUpNOdXEzMTFBEuh/view?usp=sharing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drive.google.com/file/d/1vNc7oPFad_hH8nEDBmUCwfz57-lgHoAB/view?usp=sharing" TargetMode="External"/><Relationship Id="rId7" Type="http://schemas.openxmlformats.org/officeDocument/2006/relationships/hyperlink" Target="https://drive.google.com/file/d/11xsxQhb5ol5-Uu1z5bxOmkzz4ljuzCHo/view?usp=sharing" TargetMode="External"/><Relationship Id="rId12" Type="http://schemas.openxmlformats.org/officeDocument/2006/relationships/hyperlink" Target="https://drive.google.com/file/d/1VkkeMLuG1efVh9MzDTpkKcEFl-S-VgvJ/view?usp=sharing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file/d/1F1wt_C2Lh9LJQELVyZycRawB9YInLNNb/view?usp=sharing" TargetMode="External"/><Relationship Id="rId16" Type="http://schemas.openxmlformats.org/officeDocument/2006/relationships/hyperlink" Target="https://drive.google.com/file/d/1NqPLnkbl-Mc47etRqpUaiYQid-mnV6uE/view?usp=sharing" TargetMode="External"/><Relationship Id="rId1" Type="http://schemas.openxmlformats.org/officeDocument/2006/relationships/hyperlink" Target="https://drive.google.com/file/d/1hvofS2NZhMy9dxxRShqVuRL23pwTTzzu/view?usp=sharing" TargetMode="External"/><Relationship Id="rId6" Type="http://schemas.openxmlformats.org/officeDocument/2006/relationships/hyperlink" Target="https://drive.google.com/file/d/1kuaRmoL7DOjot6B2OE3SSr_iWlmQQCfa/view?usp=sharing" TargetMode="External"/><Relationship Id="rId11" Type="http://schemas.openxmlformats.org/officeDocument/2006/relationships/hyperlink" Target="https://drive.google.com/file/d/1mmfB9zta4wiX9yVIy8PWcdgmEgCovzmR/view?usp=sharing" TargetMode="External"/><Relationship Id="rId5" Type="http://schemas.openxmlformats.org/officeDocument/2006/relationships/hyperlink" Target="https://drive.google.com/file/d/1FqzeECZc9ohDv6tEhIIEcS8mT0nOqf_m/view?usp=sharing" TargetMode="External"/><Relationship Id="rId15" Type="http://schemas.openxmlformats.org/officeDocument/2006/relationships/hyperlink" Target="https://drive.google.com/file/d/1BmTGU1gFfyV8eEUR_L4K1nUC9a9bGnr3/view?usp=sharing" TargetMode="External"/><Relationship Id="rId10" Type="http://schemas.openxmlformats.org/officeDocument/2006/relationships/hyperlink" Target="https://drive.google.com/file/d/1498cw--MnwRHiUOTSsp7-TcNAgdhY6IL/view?usp=sharing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drive.google.com/file/d/1wzeONRCs1MritJqkuqSdLmqDvHGx6fqg/view?usp=sharing" TargetMode="External"/><Relationship Id="rId14" Type="http://schemas.openxmlformats.org/officeDocument/2006/relationships/hyperlink" Target="https://drive.google.com/file/d/1TUhqzZ0Cra9HXdXf-adMrKMufgfJFA56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Z1001"/>
  <sheetViews>
    <sheetView showGridLines="0" tabSelected="1" topLeftCell="D1" zoomScale="80" zoomScaleNormal="80" workbookViewId="0">
      <pane ySplit="6" topLeftCell="A7" activePane="bottomLeft" state="frozen"/>
      <selection pane="bottomLeft" activeCell="E4" sqref="E4"/>
    </sheetView>
  </sheetViews>
  <sheetFormatPr defaultColWidth="14.44140625" defaultRowHeight="15" customHeight="1" x14ac:dyDescent="0.25"/>
  <cols>
    <col min="1" max="1" width="21.88671875" customWidth="1"/>
    <col min="2" max="2" width="18.109375" customWidth="1"/>
    <col min="3" max="3" width="24.109375" customWidth="1"/>
    <col min="4" max="4" width="34.88671875" customWidth="1"/>
    <col min="5" max="5" width="47.6640625" customWidth="1"/>
    <col min="6" max="6" width="36" customWidth="1"/>
    <col min="7" max="7" width="33.5546875" customWidth="1"/>
    <col min="8" max="8" width="13.6640625" customWidth="1"/>
    <col min="9" max="9" width="25" customWidth="1"/>
    <col min="10" max="10" width="17.33203125" customWidth="1"/>
  </cols>
  <sheetData>
    <row r="1" spans="1:25" ht="18" customHeight="1" x14ac:dyDescent="0.25">
      <c r="A1" s="68" t="s">
        <v>0</v>
      </c>
      <c r="B1" s="69"/>
      <c r="C1" s="1" t="s">
        <v>1</v>
      </c>
      <c r="D1" s="2" t="s">
        <v>2</v>
      </c>
      <c r="E1" s="3" t="s">
        <v>3</v>
      </c>
      <c r="F1" s="4" t="s">
        <v>4</v>
      </c>
      <c r="G1" s="3" t="s">
        <v>3</v>
      </c>
      <c r="H1" s="70" t="s">
        <v>5</v>
      </c>
      <c r="I1" s="7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3.8" x14ac:dyDescent="0.25">
      <c r="A2" s="72" t="s">
        <v>6</v>
      </c>
      <c r="B2" s="69"/>
      <c r="C2" s="6" t="s">
        <v>7</v>
      </c>
      <c r="D2" s="2" t="s">
        <v>8</v>
      </c>
      <c r="E2" s="3" t="s">
        <v>3</v>
      </c>
      <c r="F2" s="7" t="s">
        <v>9</v>
      </c>
      <c r="G2" s="3" t="s">
        <v>3</v>
      </c>
      <c r="H2" s="37" t="s">
        <v>10</v>
      </c>
      <c r="I2" s="41">
        <f>COUNTIF(H7:H21, "PASS")</f>
        <v>10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8" customHeight="1" x14ac:dyDescent="0.25">
      <c r="A3" s="72"/>
      <c r="B3" s="69"/>
      <c r="C3" s="6"/>
      <c r="D3" s="9" t="s">
        <v>11</v>
      </c>
      <c r="E3" s="10" t="s">
        <v>103</v>
      </c>
      <c r="F3" s="1" t="s">
        <v>12</v>
      </c>
      <c r="G3" s="6">
        <v>3</v>
      </c>
      <c r="H3" s="38" t="s">
        <v>13</v>
      </c>
      <c r="I3" s="42">
        <f>COUNTIF(H7:H21, "Fail")</f>
        <v>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8" customHeight="1" x14ac:dyDescent="0.25">
      <c r="A4" s="72" t="s">
        <v>14</v>
      </c>
      <c r="B4" s="69"/>
      <c r="C4" s="6" t="s">
        <v>15</v>
      </c>
      <c r="D4" s="9" t="s">
        <v>16</v>
      </c>
      <c r="E4" s="6" t="s">
        <v>103</v>
      </c>
      <c r="F4" s="1" t="s">
        <v>17</v>
      </c>
      <c r="G4" s="11" t="s">
        <v>18</v>
      </c>
      <c r="H4" s="37" t="s">
        <v>19</v>
      </c>
      <c r="I4" s="43">
        <f>COUNTIF(H7:H21, "WARNING")</f>
        <v>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8" customHeight="1" x14ac:dyDescent="0.25">
      <c r="A5" s="75" t="s">
        <v>20</v>
      </c>
      <c r="B5" s="69"/>
      <c r="C5" s="75"/>
      <c r="D5" s="76"/>
      <c r="E5" s="76"/>
      <c r="F5" s="76"/>
      <c r="G5" s="69"/>
      <c r="H5" s="39" t="s">
        <v>21</v>
      </c>
      <c r="I5" s="44">
        <f>SUM(I2:I3:I4)</f>
        <v>15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8" customHeight="1" x14ac:dyDescent="0.25">
      <c r="A6" s="12" t="s">
        <v>22</v>
      </c>
      <c r="B6" s="13" t="s">
        <v>23</v>
      </c>
      <c r="C6" s="13" t="s">
        <v>24</v>
      </c>
      <c r="D6" s="13" t="s">
        <v>25</v>
      </c>
      <c r="E6" s="13" t="s">
        <v>26</v>
      </c>
      <c r="F6" s="13" t="s">
        <v>27</v>
      </c>
      <c r="G6" s="13" t="s">
        <v>28</v>
      </c>
      <c r="H6" s="40" t="s">
        <v>29</v>
      </c>
      <c r="I6" s="45" t="s">
        <v>30</v>
      </c>
      <c r="J6" s="62" t="s">
        <v>79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60" customHeight="1" x14ac:dyDescent="0.25">
      <c r="A7" s="15" t="s">
        <v>31</v>
      </c>
      <c r="B7" s="16" t="s">
        <v>69</v>
      </c>
      <c r="C7" s="17"/>
      <c r="D7" s="18" t="s">
        <v>32</v>
      </c>
      <c r="E7" s="19" t="s">
        <v>86</v>
      </c>
      <c r="F7" s="16" t="s">
        <v>71</v>
      </c>
      <c r="G7" s="16" t="s">
        <v>74</v>
      </c>
      <c r="H7" s="8" t="s">
        <v>13</v>
      </c>
      <c r="I7" s="47" t="s">
        <v>33</v>
      </c>
      <c r="J7" s="60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69" x14ac:dyDescent="0.25">
      <c r="A8" s="20" t="s">
        <v>34</v>
      </c>
      <c r="B8" s="16" t="s">
        <v>69</v>
      </c>
      <c r="C8" s="17"/>
      <c r="D8" s="21" t="s">
        <v>35</v>
      </c>
      <c r="E8" s="19" t="s">
        <v>87</v>
      </c>
      <c r="F8" s="16" t="s">
        <v>36</v>
      </c>
      <c r="G8" s="16" t="s">
        <v>37</v>
      </c>
      <c r="H8" s="8" t="s">
        <v>10</v>
      </c>
      <c r="I8" s="46" t="s">
        <v>38</v>
      </c>
      <c r="J8" s="60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55.2" x14ac:dyDescent="0.25">
      <c r="A9" s="20" t="s">
        <v>39</v>
      </c>
      <c r="B9" s="16" t="s">
        <v>69</v>
      </c>
      <c r="C9" s="17"/>
      <c r="D9" s="21"/>
      <c r="E9" s="22" t="s">
        <v>88</v>
      </c>
      <c r="F9" s="16" t="s">
        <v>72</v>
      </c>
      <c r="G9" s="23" t="s">
        <v>75</v>
      </c>
      <c r="H9" s="8" t="s">
        <v>13</v>
      </c>
      <c r="I9" s="46" t="s">
        <v>38</v>
      </c>
      <c r="J9" s="58" t="s">
        <v>101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55.2" x14ac:dyDescent="0.25">
      <c r="A10" s="20" t="s">
        <v>40</v>
      </c>
      <c r="B10" s="16" t="s">
        <v>70</v>
      </c>
      <c r="C10" s="17"/>
      <c r="D10" s="18" t="s">
        <v>32</v>
      </c>
      <c r="E10" s="19" t="s">
        <v>100</v>
      </c>
      <c r="F10" s="16" t="s">
        <v>73</v>
      </c>
      <c r="G10" s="23" t="s">
        <v>74</v>
      </c>
      <c r="H10" s="8" t="s">
        <v>13</v>
      </c>
      <c r="I10" s="46" t="s">
        <v>41</v>
      </c>
      <c r="J10" s="60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55.2" x14ac:dyDescent="0.25">
      <c r="A11" s="20" t="s">
        <v>42</v>
      </c>
      <c r="B11" s="16" t="s">
        <v>70</v>
      </c>
      <c r="C11" s="17"/>
      <c r="D11" s="21" t="s">
        <v>66</v>
      </c>
      <c r="E11" s="19" t="s">
        <v>89</v>
      </c>
      <c r="F11" s="16" t="s">
        <v>36</v>
      </c>
      <c r="G11" s="23" t="s">
        <v>37</v>
      </c>
      <c r="H11" s="8" t="s">
        <v>10</v>
      </c>
      <c r="I11" s="46" t="s">
        <v>41</v>
      </c>
      <c r="J11" s="60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55.2" x14ac:dyDescent="0.25">
      <c r="A12" s="20" t="s">
        <v>43</v>
      </c>
      <c r="B12" s="16" t="s">
        <v>70</v>
      </c>
      <c r="C12" s="17"/>
      <c r="D12" s="21"/>
      <c r="E12" s="22" t="s">
        <v>90</v>
      </c>
      <c r="F12" s="16" t="s">
        <v>76</v>
      </c>
      <c r="G12" s="23" t="s">
        <v>75</v>
      </c>
      <c r="H12" s="8" t="s">
        <v>13</v>
      </c>
      <c r="I12" s="46" t="s">
        <v>41</v>
      </c>
      <c r="J12" s="60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55.2" x14ac:dyDescent="0.25">
      <c r="A13" s="20" t="s">
        <v>45</v>
      </c>
      <c r="B13" s="23" t="s">
        <v>46</v>
      </c>
      <c r="C13" s="24"/>
      <c r="D13" s="23" t="s">
        <v>47</v>
      </c>
      <c r="E13" s="19" t="s">
        <v>91</v>
      </c>
      <c r="F13" s="23" t="s">
        <v>36</v>
      </c>
      <c r="G13" s="23" t="s">
        <v>37</v>
      </c>
      <c r="H13" s="8" t="s">
        <v>10</v>
      </c>
      <c r="I13" s="46" t="s">
        <v>48</v>
      </c>
      <c r="J13" s="60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55.2" x14ac:dyDescent="0.25">
      <c r="A14" s="20" t="s">
        <v>49</v>
      </c>
      <c r="B14" s="23" t="s">
        <v>50</v>
      </c>
      <c r="C14" s="25"/>
      <c r="D14" s="26" t="s">
        <v>51</v>
      </c>
      <c r="E14" s="19" t="s">
        <v>92</v>
      </c>
      <c r="F14" s="23" t="s">
        <v>73</v>
      </c>
      <c r="G14" s="23" t="s">
        <v>77</v>
      </c>
      <c r="H14" s="8" t="s">
        <v>10</v>
      </c>
      <c r="I14" s="46" t="s">
        <v>48</v>
      </c>
      <c r="J14" s="60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82.8" x14ac:dyDescent="0.25">
      <c r="A15" s="20" t="s">
        <v>52</v>
      </c>
      <c r="B15" s="27" t="s">
        <v>53</v>
      </c>
      <c r="C15" s="24"/>
      <c r="D15" s="28"/>
      <c r="E15" s="22" t="s">
        <v>93</v>
      </c>
      <c r="F15" s="16" t="s">
        <v>44</v>
      </c>
      <c r="G15" s="23" t="s">
        <v>78</v>
      </c>
      <c r="H15" s="8" t="s">
        <v>10</v>
      </c>
      <c r="I15" s="46" t="s">
        <v>48</v>
      </c>
      <c r="J15" s="60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69" x14ac:dyDescent="0.25">
      <c r="A16" s="20" t="s">
        <v>80</v>
      </c>
      <c r="B16" s="23" t="s">
        <v>54</v>
      </c>
      <c r="C16" s="29"/>
      <c r="D16" s="14" t="s">
        <v>55</v>
      </c>
      <c r="E16" s="19" t="s">
        <v>94</v>
      </c>
      <c r="F16" s="23" t="s">
        <v>56</v>
      </c>
      <c r="G16" s="23" t="s">
        <v>37</v>
      </c>
      <c r="H16" s="8" t="s">
        <v>13</v>
      </c>
      <c r="I16" s="46" t="s">
        <v>48</v>
      </c>
      <c r="J16" s="58" t="s">
        <v>102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6" ht="69" x14ac:dyDescent="0.3">
      <c r="A17" s="20" t="s">
        <v>81</v>
      </c>
      <c r="B17" s="30" t="s">
        <v>50</v>
      </c>
      <c r="C17" s="31"/>
      <c r="D17" s="23" t="s">
        <v>57</v>
      </c>
      <c r="E17" s="32" t="s">
        <v>95</v>
      </c>
      <c r="F17" s="16" t="s">
        <v>56</v>
      </c>
      <c r="G17" s="23" t="s">
        <v>58</v>
      </c>
      <c r="H17" s="8" t="s">
        <v>10</v>
      </c>
      <c r="I17" s="46" t="s">
        <v>48</v>
      </c>
      <c r="J17" s="60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6" ht="69" x14ac:dyDescent="0.25">
      <c r="A18" s="20" t="s">
        <v>82</v>
      </c>
      <c r="B18" s="23" t="s">
        <v>59</v>
      </c>
      <c r="C18" s="22"/>
      <c r="D18" s="15" t="s">
        <v>67</v>
      </c>
      <c r="E18" s="19" t="s">
        <v>96</v>
      </c>
      <c r="F18" s="23" t="s">
        <v>36</v>
      </c>
      <c r="G18" s="23" t="s">
        <v>37</v>
      </c>
      <c r="H18" s="8" t="s">
        <v>10</v>
      </c>
      <c r="I18" s="46" t="s">
        <v>60</v>
      </c>
      <c r="J18" s="60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6" ht="69" x14ac:dyDescent="0.25">
      <c r="A19" s="33" t="s">
        <v>83</v>
      </c>
      <c r="B19" s="49" t="s">
        <v>61</v>
      </c>
      <c r="C19" s="35"/>
      <c r="D19" s="14" t="s">
        <v>68</v>
      </c>
      <c r="E19" s="35" t="s">
        <v>97</v>
      </c>
      <c r="F19" s="49" t="s">
        <v>62</v>
      </c>
      <c r="G19" s="34" t="s">
        <v>58</v>
      </c>
      <c r="H19" s="36" t="s">
        <v>10</v>
      </c>
      <c r="I19" s="48" t="s">
        <v>60</v>
      </c>
      <c r="J19" s="60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6" s="56" customFormat="1" ht="51" customHeight="1" x14ac:dyDescent="0.25">
      <c r="A20" s="63" t="s">
        <v>84</v>
      </c>
      <c r="B20" s="66" t="s">
        <v>61</v>
      </c>
      <c r="C20" s="51"/>
      <c r="D20" s="52"/>
      <c r="E20" s="67" t="s">
        <v>98</v>
      </c>
      <c r="F20" s="50" t="s">
        <v>65</v>
      </c>
      <c r="G20" s="50" t="s">
        <v>58</v>
      </c>
      <c r="H20" s="53" t="s">
        <v>10</v>
      </c>
      <c r="I20" s="54" t="s">
        <v>60</v>
      </c>
      <c r="J20" s="61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</row>
    <row r="21" spans="1:26" ht="96.6" x14ac:dyDescent="0.25">
      <c r="A21" s="63" t="s">
        <v>85</v>
      </c>
      <c r="B21" s="65" t="s">
        <v>63</v>
      </c>
      <c r="C21" s="58"/>
      <c r="D21" s="59" t="s">
        <v>67</v>
      </c>
      <c r="E21" s="67" t="s">
        <v>99</v>
      </c>
      <c r="F21" s="57" t="s">
        <v>36</v>
      </c>
      <c r="G21" s="57" t="s">
        <v>37</v>
      </c>
      <c r="H21" s="41" t="s">
        <v>10</v>
      </c>
      <c r="I21" s="46" t="s">
        <v>64</v>
      </c>
      <c r="J21" s="60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6" ht="0.75" customHeight="1" x14ac:dyDescent="0.25">
      <c r="A22" s="79"/>
      <c r="B22" s="79"/>
      <c r="C22" s="80"/>
      <c r="D22" s="81"/>
      <c r="E22" s="77"/>
      <c r="F22" s="82"/>
      <c r="G22" s="82"/>
      <c r="H22" s="73"/>
      <c r="I22" s="7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6" ht="15.75" customHeight="1" x14ac:dyDescent="0.25">
      <c r="A23" s="80"/>
      <c r="B23" s="80"/>
      <c r="C23" s="80"/>
      <c r="D23" s="82"/>
      <c r="E23" s="78"/>
      <c r="F23" s="82"/>
      <c r="G23" s="82"/>
      <c r="H23" s="73"/>
      <c r="I23" s="74"/>
      <c r="J23" s="5"/>
      <c r="K23" s="5"/>
      <c r="L23" s="5"/>
      <c r="M23" s="5"/>
      <c r="N23" s="5"/>
      <c r="O23" s="5"/>
      <c r="P23" s="5"/>
      <c r="Q23" s="5"/>
    </row>
    <row r="24" spans="1:26" ht="15.75" customHeight="1" x14ac:dyDescent="0.25">
      <c r="A24" s="80"/>
      <c r="B24" s="80"/>
      <c r="C24" s="80"/>
      <c r="D24" s="82"/>
      <c r="E24" s="78"/>
      <c r="F24" s="82"/>
      <c r="G24" s="82"/>
      <c r="H24" s="73"/>
      <c r="I24" s="7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80"/>
      <c r="B25" s="80"/>
      <c r="C25" s="80"/>
      <c r="D25" s="82"/>
      <c r="E25" s="78"/>
      <c r="F25" s="82"/>
      <c r="G25" s="82"/>
      <c r="H25" s="73"/>
      <c r="I25" s="7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80"/>
      <c r="B26" s="80"/>
      <c r="C26" s="80"/>
      <c r="D26" s="82"/>
      <c r="E26" s="78"/>
      <c r="F26" s="82"/>
      <c r="G26" s="82"/>
      <c r="H26" s="73"/>
      <c r="I26" s="7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80"/>
      <c r="B27" s="80"/>
      <c r="C27" s="80"/>
      <c r="D27" s="82"/>
      <c r="E27" s="78"/>
      <c r="F27" s="82"/>
      <c r="G27" s="82"/>
      <c r="H27" s="73"/>
      <c r="I27" s="7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6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26" ht="15.7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0.7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0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1.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7.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8.2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0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.75" customHeight="1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16">
    <mergeCell ref="H22:H27"/>
    <mergeCell ref="I22:I27"/>
    <mergeCell ref="A5:B5"/>
    <mergeCell ref="C5:G5"/>
    <mergeCell ref="E22:E27"/>
    <mergeCell ref="A22:A27"/>
    <mergeCell ref="B22:B27"/>
    <mergeCell ref="C22:C27"/>
    <mergeCell ref="D22:D27"/>
    <mergeCell ref="F22:F27"/>
    <mergeCell ref="G22:G27"/>
    <mergeCell ref="A1:B1"/>
    <mergeCell ref="H1:I1"/>
    <mergeCell ref="A2:B2"/>
    <mergeCell ref="A3:B3"/>
    <mergeCell ref="A4:B4"/>
  </mergeCells>
  <conditionalFormatting sqref="H7:H22 I2:I3">
    <cfRule type="cellIs" dxfId="5" priority="1" operator="equal">
      <formula>"FAIL"</formula>
    </cfRule>
  </conditionalFormatting>
  <conditionalFormatting sqref="H7:H22 I2:I3">
    <cfRule type="cellIs" dxfId="4" priority="2" operator="equal">
      <formula>"PASS"</formula>
    </cfRule>
  </conditionalFormatting>
  <conditionalFormatting sqref="H7:H22 I2:I3">
    <cfRule type="cellIs" dxfId="3" priority="3" operator="equal">
      <formula>"WARNING"</formula>
    </cfRule>
  </conditionalFormatting>
  <conditionalFormatting sqref="I2:I3 H7:H14 H21:H22">
    <cfRule type="containsBlanks" dxfId="2" priority="4">
      <formula>LEN(TRIM(H7))=0</formula>
    </cfRule>
  </conditionalFormatting>
  <conditionalFormatting sqref="H17">
    <cfRule type="containsBlanks" dxfId="1" priority="12">
      <formula>LEN(TRIM(#REF!))=0</formula>
    </cfRule>
  </conditionalFormatting>
  <conditionalFormatting sqref="H15:H16 H18:H20">
    <cfRule type="containsBlanks" dxfId="0" priority="14">
      <formula>LEN(TRIM(H21))=0</formula>
    </cfRule>
  </conditionalFormatting>
  <dataValidations count="1">
    <dataValidation type="list" allowBlank="1" showInputMessage="1" showErrorMessage="1" prompt="Click and enter a value from the list of items" sqref="H7:H22">
      <formula1>"PASS,FAIL,WARNING"</formula1>
    </dataValidation>
  </dataValidations>
  <hyperlinks>
    <hyperlink ref="I11" r:id="rId1"/>
    <hyperlink ref="I12" r:id="rId2"/>
    <hyperlink ref="I13" r:id="rId3"/>
    <hyperlink ref="D14" r:id="rId4" location="@!^%^"/>
    <hyperlink ref="I15" r:id="rId5"/>
    <hyperlink ref="I18" r:id="rId6"/>
    <hyperlink ref="I19" r:id="rId7"/>
    <hyperlink ref="I21" r:id="rId8"/>
    <hyperlink ref="I8" r:id="rId9"/>
    <hyperlink ref="I7" r:id="rId10" display="https://drive.google.com/file/d/1498cw--MnwRHiUOTSsp7-TcNAgdhY6IL/view?usp=sharing"/>
    <hyperlink ref="I9" r:id="rId11"/>
    <hyperlink ref="I10" r:id="rId12"/>
    <hyperlink ref="I17" r:id="rId13"/>
    <hyperlink ref="I14" r:id="rId14"/>
    <hyperlink ref="I16" r:id="rId15"/>
    <hyperlink ref="I20" r:id="rId16"/>
  </hyperlinks>
  <pageMargins left="0.7" right="0.7" top="0.75" bottom="0.75" header="0" footer="0"/>
  <pageSetup orientation="landscape" r:id="rId17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2020-08-07T08:33:33Z</dcterms:created>
  <dcterms:modified xsi:type="dcterms:W3CDTF">2023-12-21T04:42:14Z</dcterms:modified>
</cp:coreProperties>
</file>